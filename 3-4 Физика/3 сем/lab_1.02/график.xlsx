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ИТМО\2 курс\физика\lab2\"/>
    </mc:Choice>
  </mc:AlternateContent>
  <xr:revisionPtr revIDLastSave="0" documentId="13_ncr:1_{815F34D2-6C3E-4090-BBD6-66DAF691383E}" xr6:coauthVersionLast="47" xr6:coauthVersionMax="47" xr10:uidLastSave="{00000000-0000-0000-0000-000000000000}"/>
  <bookViews>
    <workbookView xWindow="-108" yWindow="-108" windowWidth="23256" windowHeight="12456" xr2:uid="{189E7124-1EB4-40C3-ABE9-6DC2622A684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L8" i="1"/>
  <c r="L7" i="1"/>
  <c r="N4" i="1"/>
  <c r="N3" i="1"/>
  <c r="N2" i="1"/>
  <c r="I3" i="1"/>
  <c r="I4" i="1"/>
  <c r="I5" i="1"/>
  <c r="I6" i="1"/>
  <c r="I2" i="1"/>
  <c r="N1" i="1" a="1"/>
  <c r="N1" i="1" s="1"/>
  <c r="H4" i="1"/>
  <c r="H5" i="1"/>
  <c r="H6" i="1"/>
  <c r="H3" i="1"/>
  <c r="H2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<sst xmlns="http://schemas.openxmlformats.org/spreadsheetml/2006/main" count="15" uniqueCount="15">
  <si>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x1</t>
  </si>
  <si>
    <t>x2</t>
  </si>
  <si>
    <t>t1</t>
  </si>
  <si>
    <t>t2</t>
  </si>
  <si>
    <t>Y = x2-x1</t>
  </si>
  <si>
    <t>Z = (t2^2-t1^2)/2</t>
  </si>
  <si>
    <t>ΔY</t>
  </si>
  <si>
    <t>ΔZ</t>
  </si>
  <si>
    <t>Δx</t>
  </si>
  <si>
    <t>Δr</t>
  </si>
  <si>
    <t>N</t>
  </si>
  <si>
    <t>a</t>
  </si>
  <si>
    <t>σ_a</t>
  </si>
  <si>
    <t>Δa</t>
  </si>
  <si>
    <t>%error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</si>
</sst>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706036745406835E-2"/>
          <c:y val="0.17171296296296296"/>
          <c:w val="0.80634337978284121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Точки (Yi, Zi)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Лист1!$G$2:$G$6</c:f>
                <c:numCache>
                  <c:formatCode>General</c:formatCode>
                  <c:ptCount val="5"/>
                  <c:pt idx="0">
                    <c:v>7.0710678118654762E-3</c:v>
                  </c:pt>
                  <c:pt idx="1">
                    <c:v>7.0710678118654762E-3</c:v>
                  </c:pt>
                  <c:pt idx="2">
                    <c:v>7.0710678118654762E-3</c:v>
                  </c:pt>
                  <c:pt idx="3">
                    <c:v>7.0710678118654762E-3</c:v>
                  </c:pt>
                  <c:pt idx="4">
                    <c:v>7.0710678118654762E-3</c:v>
                  </c:pt>
                </c:numCache>
              </c:numRef>
            </c:plus>
            <c:minus>
              <c:numRef>
                <c:f>Лист1!$G$2:$G$6</c:f>
                <c:numCache>
                  <c:formatCode>General</c:formatCode>
                  <c:ptCount val="5"/>
                  <c:pt idx="0">
                    <c:v>7.0710678118654762E-3</c:v>
                  </c:pt>
                  <c:pt idx="1">
                    <c:v>7.0710678118654762E-3</c:v>
                  </c:pt>
                  <c:pt idx="2">
                    <c:v>7.0710678118654762E-3</c:v>
                  </c:pt>
                  <c:pt idx="3">
                    <c:v>7.0710678118654762E-3</c:v>
                  </c:pt>
                  <c:pt idx="4">
                    <c:v>7.0710678118654762E-3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Лист1!$H$2:$H$6</c:f>
                <c:numCache>
                  <c:formatCode>General</c:formatCode>
                  <c:ptCount val="5"/>
                  <c:pt idx="0">
                    <c:v>0.39115214431215894</c:v>
                  </c:pt>
                  <c:pt idx="1">
                    <c:v>0.32202484376209239</c:v>
                  </c:pt>
                  <c:pt idx="2">
                    <c:v>0.36400549446402591</c:v>
                  </c:pt>
                  <c:pt idx="3">
                    <c:v>0.43324358044868944</c:v>
                  </c:pt>
                  <c:pt idx="4">
                    <c:v>0.46840153714521482</c:v>
                  </c:pt>
                </c:numCache>
              </c:numRef>
            </c:plus>
            <c:minus>
              <c:numRef>
                <c:f>Лист1!$H$2:$H$6</c:f>
                <c:numCache>
                  <c:formatCode>General</c:formatCode>
                  <c:ptCount val="5"/>
                  <c:pt idx="0">
                    <c:v>0.39115214431215894</c:v>
                  </c:pt>
                  <c:pt idx="1">
                    <c:v>0.32202484376209239</c:v>
                  </c:pt>
                  <c:pt idx="2">
                    <c:v>0.36400549446402591</c:v>
                  </c:pt>
                  <c:pt idx="3">
                    <c:v>0.43324358044868944</c:v>
                  </c:pt>
                  <c:pt idx="4">
                    <c:v>0.46840153714521482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Лист1!$F$2:$F$6</c:f>
              <c:numCache>
                <c:formatCode>General</c:formatCode>
                <c:ptCount val="5"/>
                <c:pt idx="0">
                  <c:v>3.2399999999999993</c:v>
                </c:pt>
                <c:pt idx="1">
                  <c:v>3.2250000000000001</c:v>
                </c:pt>
                <c:pt idx="2">
                  <c:v>4.9349999999999996</c:v>
                </c:pt>
                <c:pt idx="3">
                  <c:v>7.4249999999999998</c:v>
                </c:pt>
                <c:pt idx="4">
                  <c:v>9.2799999999999994</c:v>
                </c:pt>
              </c:numCache>
            </c:numRef>
          </c:xVal>
          <c:yVal>
            <c:numRef>
              <c:f>Лист1!$E$2:$E$6</c:f>
              <c:numCache>
                <c:formatCode>General</c:formatCode>
                <c:ptCount val="5"/>
                <c:pt idx="0">
                  <c:v>0.25</c:v>
                </c:pt>
                <c:pt idx="1">
                  <c:v>0.35</c:v>
                </c:pt>
                <c:pt idx="2">
                  <c:v>0.54999999999999993</c:v>
                </c:pt>
                <c:pt idx="3">
                  <c:v>0.75</c:v>
                </c:pt>
                <c:pt idx="4">
                  <c:v>0.95000000000000007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87-4FB9-85C2-B6034FA2F9F9}"/>
            </c:ext>
          </c:extLst>
        </c:ser>
        <c:ser>
          <c:idx val="1"/>
          <c:order val="1"/>
          <c:tx>
            <c:v>Y = aZ</c:v>
          </c:tx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Лист1!$L$6:$L$9</c:f>
              <c:numCache>
                <c:formatCode>General</c:formatCode>
                <c:ptCount val="4"/>
                <c:pt idx="0">
                  <c:v>0</c:v>
                </c:pt>
                <c:pt idx="1">
                  <c:v>2.7250000000000001</c:v>
                </c:pt>
                <c:pt idx="2">
                  <c:v>9.7799999999999994</c:v>
                </c:pt>
                <c:pt idx="3">
                  <c:v>11.763999999999999</c:v>
                </c:pt>
              </c:numCache>
            </c:numRef>
          </c:xVal>
          <c:yVal>
            <c:numRef>
              <c:f>Лист1!$M$6:$M$9</c:f>
              <c:numCache>
                <c:formatCode>General</c:formatCode>
                <c:ptCount val="4"/>
                <c:pt idx="0">
                  <c:v>0</c:v>
                </c:pt>
                <c:pt idx="1">
                  <c:v>0.27816331613463113</c:v>
                </c:pt>
                <c:pt idx="2">
                  <c:v>0.99832558965016238</c:v>
                </c:pt>
                <c:pt idx="3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87-4FB9-85C2-B6034FA2F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631807"/>
        <c:axId val="530615487"/>
      </c:scatterChart>
      <c:valAx>
        <c:axId val="53063180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, </a:t>
                </a:r>
                <a:r>
                  <a:rPr lang="ru-RU"/>
                  <a:t>м</a:t>
                </a:r>
              </a:p>
            </c:rich>
          </c:tx>
          <c:layout>
            <c:manualLayout>
              <c:xMode val="edge"/>
              <c:yMode val="edge"/>
              <c:x val="0.91675901623408207"/>
              <c:y val="0.804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615487"/>
        <c:crosses val="autoZero"/>
        <c:crossBetween val="midCat"/>
      </c:valAx>
      <c:valAx>
        <c:axId val="530615487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Z, 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en-US" sz="1000" b="0" i="0" u="none" strike="noStrike" baseline="0">
                    <a:effectLst/>
                  </a:rPr>
                  <a:t>^</a:t>
                </a:r>
                <a:r>
                  <a:rPr lang="ru-RU" sz="1000" b="0" i="0" u="none" strike="noStrike" baseline="0">
                    <a:effectLst/>
                  </a:rPr>
                  <a:t>2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2222222222222223E-2"/>
              <c:y val="4.679790026246719E-2"/>
            </c:manualLayout>
          </c:layout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631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ayout>
        <c:manualLayout>
          <c:xMode val="edge"/>
          <c:yMode val="edge"/>
          <c:x val="0.28797638217928073"/>
          <c:y val="9.6759259259259264E-3"/>
          <c:w val="0.41062801932367149"/>
          <c:h val="0.12905147273257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6</xdr:row>
      <xdr:rowOff>148590</xdr:rowOff>
    </xdr:from>
    <xdr:to>
      <xdr:col>6</xdr:col>
      <xdr:colOff>731520</xdr:colOff>
      <xdr:row>20</xdr:row>
      <xdr:rowOff>102870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3497F157-A446-5505-C3C7-80293DE3E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35F1-67C8-41BD-8C0D-AEF5DF6B24EC}">
  <dimension ref="A1:N12"/>
  <sheetViews>
    <sheetView tabSelected="1" zoomScaleNormal="100" workbookViewId="0">
      <selection activeCell="I11" sqref="I11"/>
    </sheetView>
  </sheetViews>
  <sheetFormatPr defaultRowHeight="14.4" x14ac:dyDescent="0.3"/>
  <cols>
    <col min="6" max="7" width="14.77734375" bestFit="1" customWidth="1"/>
    <col min="8" max="8" width="14" bestFit="1" customWidth="1"/>
  </cols>
  <sheetData>
    <row r="1" spans="1:14" ht="3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s="1" t="s">
        <v>8</v>
      </c>
      <c r="L1" s="1">
        <v>5.0000000000000001E-3</v>
      </c>
      <c r="M1" t="s">
        <v>11</v>
      </c>
      <c r="N1" cm="1">
        <f t="array" ref="N1">SUMPRODUCT(F2:F6,E2:E6/SUMSQ(F2:F6))</f>
        <v>0.10207828115032336</v>
      </c>
    </row>
    <row r="2" spans="1:14" ht="18" x14ac:dyDescent="0.3">
      <c r="A2" s="4">
        <v>0.15</v>
      </c>
      <c r="B2" s="4">
        <v>0.4</v>
      </c>
      <c r="C2" s="4">
        <v>2.1</v>
      </c>
      <c r="D2" s="4">
        <v>3.3</v>
      </c>
      <c r="E2" s="4">
        <f>B2-A2</f>
        <v>0.25</v>
      </c>
      <c r="F2" s="4">
        <f>(D2^2-C2^2)/2</f>
        <v>3.2399999999999993</v>
      </c>
      <c r="G2" s="4">
        <f>SQRT(2)*$L$1</f>
        <v>7.0710678118654762E-3</v>
      </c>
      <c r="H2" s="4">
        <f>L$2*SQRT(D2^2 + C2^2)</f>
        <v>0.39115214431215894</v>
      </c>
      <c r="I2">
        <f>E2-$N$1*F2</f>
        <v>-8.0733630927047606E-2</v>
      </c>
      <c r="K2" s="1" t="s">
        <v>9</v>
      </c>
      <c r="L2" s="1">
        <v>0.1</v>
      </c>
      <c r="M2" t="s">
        <v>12</v>
      </c>
      <c r="N2">
        <f>SQRT(SUMSQ(I2:I6)/((L$3-1)*SUMSQ(F2:F6)))</f>
        <v>3.5039484798467511E-3</v>
      </c>
    </row>
    <row r="3" spans="1:14" ht="18" x14ac:dyDescent="0.3">
      <c r="A3" s="4">
        <v>0.15</v>
      </c>
      <c r="B3" s="4">
        <v>0.5</v>
      </c>
      <c r="C3" s="4">
        <v>1.4</v>
      </c>
      <c r="D3" s="4">
        <v>2.9</v>
      </c>
      <c r="E3" s="4">
        <f t="shared" ref="E3:E6" si="0">B3-A3</f>
        <v>0.35</v>
      </c>
      <c r="F3" s="4">
        <f t="shared" ref="F3:F6" si="1">(D3^2-C3^2)/2</f>
        <v>3.2250000000000001</v>
      </c>
      <c r="G3" s="4">
        <f t="shared" ref="G3:G6" si="2">SQRT(2)*$L$1</f>
        <v>7.0710678118654762E-3</v>
      </c>
      <c r="H3" s="4">
        <f>L$2*SQRT(D3^2 + C3^2)</f>
        <v>0.32202484376209239</v>
      </c>
      <c r="I3">
        <f t="shared" ref="I3:I6" si="3">E3-$N$1*F3</f>
        <v>2.0797543290207166E-2</v>
      </c>
      <c r="K3" s="1" t="s">
        <v>10</v>
      </c>
      <c r="L3" s="1">
        <v>5</v>
      </c>
      <c r="M3" t="s">
        <v>13</v>
      </c>
      <c r="N3">
        <f>2*N2</f>
        <v>7.0078969596935022E-3</v>
      </c>
    </row>
    <row r="4" spans="1:14" ht="18" x14ac:dyDescent="0.3">
      <c r="A4" s="4">
        <v>0.15</v>
      </c>
      <c r="B4" s="4">
        <v>0.7</v>
      </c>
      <c r="C4" s="4">
        <v>1.3</v>
      </c>
      <c r="D4" s="4">
        <v>3.4</v>
      </c>
      <c r="E4" s="4">
        <f t="shared" si="0"/>
        <v>0.54999999999999993</v>
      </c>
      <c r="F4" s="4">
        <f t="shared" si="1"/>
        <v>4.9349999999999996</v>
      </c>
      <c r="G4" s="4">
        <f t="shared" si="2"/>
        <v>7.0710678118654762E-3</v>
      </c>
      <c r="H4" s="4">
        <f t="shared" ref="H4:H6" si="4">L$2*SQRT(D4^2 + C4^2)</f>
        <v>0.36400549446402591</v>
      </c>
      <c r="I4">
        <f t="shared" si="3"/>
        <v>4.624368252315425E-2</v>
      </c>
      <c r="M4" t="s">
        <v>14</v>
      </c>
      <c r="N4">
        <f>N3/N1*100</f>
        <v>6.865218419355509</v>
      </c>
    </row>
    <row r="5" spans="1:14" ht="18" x14ac:dyDescent="0.3">
      <c r="A5" s="4">
        <v>0.15</v>
      </c>
      <c r="B5" s="4">
        <v>0.9</v>
      </c>
      <c r="C5" s="4">
        <v>1.4</v>
      </c>
      <c r="D5" s="4">
        <v>4.0999999999999996</v>
      </c>
      <c r="E5" s="4">
        <f t="shared" si="0"/>
        <v>0.75</v>
      </c>
      <c r="F5" s="4">
        <f t="shared" si="1"/>
        <v>7.4249999999999998</v>
      </c>
      <c r="G5" s="4">
        <f t="shared" si="2"/>
        <v>7.0710678118654762E-3</v>
      </c>
      <c r="H5" s="4">
        <f t="shared" si="4"/>
        <v>0.43324358044868944</v>
      </c>
      <c r="I5">
        <f t="shared" si="3"/>
        <v>-7.9312375411508818E-3</v>
      </c>
    </row>
    <row r="6" spans="1:14" ht="18" x14ac:dyDescent="0.3">
      <c r="A6" s="4">
        <v>0.15</v>
      </c>
      <c r="B6" s="4">
        <v>1.1000000000000001</v>
      </c>
      <c r="C6" s="4">
        <v>1.3</v>
      </c>
      <c r="D6" s="4">
        <v>4.5</v>
      </c>
      <c r="E6" s="4">
        <f t="shared" si="0"/>
        <v>0.95000000000000007</v>
      </c>
      <c r="F6" s="4">
        <f t="shared" si="1"/>
        <v>9.2799999999999994</v>
      </c>
      <c r="G6" s="4">
        <f t="shared" si="2"/>
        <v>7.0710678118654762E-3</v>
      </c>
      <c r="H6" s="4">
        <f t="shared" si="4"/>
        <v>0.46840153714521482</v>
      </c>
      <c r="I6">
        <f t="shared" si="3"/>
        <v>2.7135509249993639E-3</v>
      </c>
      <c r="L6" s="1">
        <v>0</v>
      </c>
      <c r="M6">
        <v>0</v>
      </c>
    </row>
    <row r="7" spans="1:14" x14ac:dyDescent="0.3">
      <c r="L7">
        <f>MIN(F2:F6) - 0.5</f>
        <v>2.7250000000000001</v>
      </c>
      <c r="M7">
        <f>N1*L7</f>
        <v>0.27816331613463113</v>
      </c>
    </row>
    <row r="8" spans="1:14" ht="18" x14ac:dyDescent="0.3">
      <c r="A8" s="2"/>
      <c r="L8">
        <f>MAX(F2:F6)+0.5</f>
        <v>9.7799999999999994</v>
      </c>
      <c r="M8">
        <f>N1*L8</f>
        <v>0.99832558965016238</v>
      </c>
    </row>
    <row r="9" spans="1:14" ht="18" x14ac:dyDescent="0.3">
      <c r="A9" s="2"/>
      <c r="L9">
        <v>11.763999999999999</v>
      </c>
      <c r="M9">
        <v>1.2</v>
      </c>
    </row>
    <row r="10" spans="1:14" ht="18" x14ac:dyDescent="0.3">
      <c r="A10" s="2"/>
    </row>
    <row r="11" spans="1:14" ht="18" x14ac:dyDescent="0.3">
      <c r="A11" s="2"/>
    </row>
    <row r="12" spans="1:14" ht="18" x14ac:dyDescent="0.3">
      <c r="A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Кузнецов</dc:creator>
  <cp:lastModifiedBy>Андрей Кузнецов</cp:lastModifiedBy>
  <dcterms:created xsi:type="dcterms:W3CDTF">2025-11-25T11:55:49Z</dcterms:created>
  <dcterms:modified xsi:type="dcterms:W3CDTF">2025-11-26T09:22:09Z</dcterms:modified>
</cp:coreProperties>
</file>